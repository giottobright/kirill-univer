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ногоугольник" sheetId="1" state="visible" r:id="rId1"/>
    <sheet xmlns:r="http://schemas.openxmlformats.org/officeDocument/2006/relationships" name="GE-McKinsey" sheetId="2" state="visible" r:id="rId2"/>
    <sheet xmlns:r="http://schemas.openxmlformats.org/officeDocument/2006/relationships" name="BCG" sheetId="3" state="visible" r:id="rId3"/>
    <sheet xmlns:r="http://schemas.openxmlformats.org/officeDocument/2006/relationships" name="Матрица Ансофф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sz val="10"/>
    </font>
    <font>
      <b val="1"/>
      <sz val="10"/>
    </font>
    <font>
      <b val="1"/>
      <color rgb="001F4E78"/>
      <sz val="1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E75B6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2" fontId="3" fillId="0" borderId="1" applyAlignment="1" pivotButton="0" quotePrefix="0" xfId="0">
      <alignment horizontal="center" vertical="center" wrapText="1"/>
    </xf>
    <xf numFmtId="9" fontId="3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Многоугольник конкурентоспособности ([ФИО студентов], Вариант 7)</a:t>
            </a:r>
          </a:p>
        </rich>
      </tx>
    </title>
    <plotArea>
      <radarChart>
        <radarStyle val="marker"/>
        <ser>
          <idx val="0"/>
          <order val="0"/>
          <tx>
            <strRef>
              <f>'Многоугольник'!A4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'Многоугольник'!$B$3:$K$3</f>
            </numRef>
          </cat>
          <val>
            <numRef>
              <f>'Многоугольник'!$B$4:$K$4</f>
            </numRef>
          </val>
        </ser>
        <ser>
          <idx val="1"/>
          <order val="1"/>
          <tx>
            <strRef>
              <f>'Многоугольник'!A5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'Многоугольник'!$B$3:$K$3</f>
            </numRef>
          </cat>
          <val>
            <numRef>
              <f>'Многоугольник'!$B$5:$K$5</f>
            </numRef>
          </val>
        </ser>
        <ser>
          <idx val="2"/>
          <order val="2"/>
          <tx>
            <strRef>
              <f>'Многоугольник'!A6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'Многоугольник'!$B$3:$K$3</f>
            </numRef>
          </cat>
          <val>
            <numRef>
              <f>'Многоугольник'!$B$6:$K$6</f>
            </numRef>
          </val>
        </ser>
        <ser>
          <idx val="3"/>
          <order val="3"/>
          <tx>
            <strRef>
              <f>'Многоугольник'!A7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'Многоугольник'!$B$3:$K$3</f>
            </numRef>
          </cat>
          <val>
            <numRef>
              <f>'Многоугольник'!$B$7:$K$7</f>
            </numRef>
          </val>
        </ser>
        <ser>
          <idx val="4"/>
          <order val="4"/>
          <tx>
            <strRef>
              <f>'Многоугольник'!A8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'Многоугольник'!$B$3:$K$3</f>
            </numRef>
          </cat>
          <val>
            <numRef>
              <f>'Многоугольник'!$B$8:$K$8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8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Матрица «Важность / Эффективность» ([ФИО студентов], Вариант 7)</a:t>
            </a:r>
          </a:p>
        </rich>
      </tx>
    </title>
    <plotArea>
      <scatterChart>
        <ser>
          <idx val="0"/>
          <order val="0"/>
          <tx>
            <v>Атрибуты ИС НОРБИТ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9"/>
            <spPr>
              <a:ln xmlns:a="http://schemas.openxmlformats.org/drawingml/2006/main">
                <a:prstDash val="solid"/>
              </a:ln>
            </spPr>
          </marker>
          <xVal>
            <numRef>
              <f>'Многоугольник'!$B$9:$K$9</f>
            </numRef>
          </xVal>
          <yVal>
            <numRef>
              <f>'Многоугольник'!$B$4:$K$4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Важность критерия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Полезность атрибута (балл нашей ИС)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8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Матрица BCG «Темп роста – Доля рынка» ([ФИО студентов], Вариант 7)</a:t>
            </a:r>
          </a:p>
        </rich>
      </tx>
    </title>
    <plotArea>
      <bubbleChart>
        <ser>
          <idx val="0"/>
          <order val="0"/>
          <tx>
            <v>Товары компании</v>
          </tx>
          <spPr>
            <a:ln xmlns:a="http://schemas.openxmlformats.org/drawingml/2006/main">
              <a:prstDash val="solid"/>
            </a:ln>
          </spPr>
          <xVal>
            <numRef>
              <f>'BCG'!$J$5:$J$10</f>
            </numRef>
          </xVal>
          <yVal>
            <numRef>
              <f>'BCG'!$F$5:$F$10</f>
            </numRef>
          </yVal>
          <bubbleSize>
            <numRef>
              <f>'BCG'!$C$5:$C$10</f>
            </numRef>
          </bubbleSize>
        </ser>
        <axId val="10"/>
        <axId val="20"/>
      </bubble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Относительная доля рынка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Взвешенный темп роста рынка,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684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43</row>
      <rowOff>0</rowOff>
    </from>
    <ext cx="6840000" cy="46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13</row>
      <rowOff>0</rowOff>
    </from>
    <ext cx="720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7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4" customWidth="1" min="13" max="13"/>
  </cols>
  <sheetData>
    <row r="1">
      <c r="A1" s="1" t="inlineStr">
        <is>
          <t>Таблица 27 – Таблица для построения Многоугольника конкурентоспособности ([ФИО студентов], Вариант 7)</t>
        </is>
      </c>
    </row>
    <row r="3" ht="46" customHeight="1">
      <c r="A3" s="2" t="inlineStr">
        <is>
          <t>Критерии конкурентоспособности</t>
        </is>
      </c>
      <c r="B3" s="2" t="inlineStr">
        <is>
          <t>Размер бизнеса заказчика</t>
        </is>
      </c>
      <c r="C3" s="2" t="inlineStr">
        <is>
          <t>Функционал</t>
        </is>
      </c>
      <c r="D3" s="2" t="inlineStr">
        <is>
          <t>Гибкость и масштабируемость</t>
        </is>
      </c>
      <c r="E3" s="2" t="inlineStr">
        <is>
          <t>Производительность платформы</t>
        </is>
      </c>
      <c r="F3" s="2" t="inlineStr">
        <is>
          <t>Кастомизация</t>
        </is>
      </c>
      <c r="G3" s="2" t="inlineStr">
        <is>
          <t>Универсальность решения</t>
        </is>
      </c>
      <c r="H3" s="2" t="inlineStr">
        <is>
          <t>Разнообразие ценообразования</t>
        </is>
      </c>
      <c r="I3" s="2" t="inlineStr">
        <is>
          <t>Рекламная активность</t>
        </is>
      </c>
      <c r="J3" s="2" t="inlineStr">
        <is>
          <t>Известность бренда</t>
        </is>
      </c>
      <c r="K3" s="2" t="inlineStr">
        <is>
          <t>Дистрибуция</t>
        </is>
      </c>
      <c r="L3" s="2" t="inlineStr">
        <is>
          <t>U (без учёта дифференциации атрибутов)</t>
        </is>
      </c>
      <c r="M3" s="2" t="inlineStr">
        <is>
          <t>U детерм (с учётом дифференциации атрибутов)</t>
        </is>
      </c>
    </row>
    <row r="4" ht="46" customHeight="1">
      <c r="A4" s="3" t="inlineStr">
        <is>
          <t>НОРБИТ: Управление закупками (SRM)</t>
        </is>
      </c>
      <c r="B4" s="4" t="n">
        <v>10</v>
      </c>
      <c r="C4" s="4" t="n">
        <v>4</v>
      </c>
      <c r="D4" s="4" t="n">
        <v>5</v>
      </c>
      <c r="E4" s="4" t="n">
        <v>7</v>
      </c>
      <c r="F4" s="4" t="n">
        <v>2</v>
      </c>
      <c r="G4" s="4" t="n">
        <v>9</v>
      </c>
      <c r="H4" s="4" t="n">
        <v>4</v>
      </c>
      <c r="I4" s="4" t="n">
        <v>5</v>
      </c>
      <c r="J4" s="4" t="n">
        <v>7</v>
      </c>
      <c r="K4" s="4" t="n">
        <v>4</v>
      </c>
      <c r="L4" s="4">
        <f>SUMPRODUCT(B4:K4,$B$9:$K$9)</f>
        <v/>
      </c>
      <c r="M4" s="4">
        <f>SUMPRODUCT(B4:K4,$B$12:$K$12)</f>
        <v/>
      </c>
    </row>
    <row r="5" ht="46" customHeight="1">
      <c r="A5" s="5" t="inlineStr">
        <is>
          <t>Comindware Управление закупками</t>
        </is>
      </c>
      <c r="B5" s="6" t="n">
        <v>7</v>
      </c>
      <c r="C5" s="6" t="n">
        <v>8</v>
      </c>
      <c r="D5" s="6" t="n">
        <v>9</v>
      </c>
      <c r="E5" s="6" t="n">
        <v>8</v>
      </c>
      <c r="F5" s="6" t="n">
        <v>9</v>
      </c>
      <c r="G5" s="6" t="n">
        <v>7</v>
      </c>
      <c r="H5" s="6" t="n">
        <v>6</v>
      </c>
      <c r="I5" s="6" t="n">
        <v>7</v>
      </c>
      <c r="J5" s="6" t="n">
        <v>7</v>
      </c>
      <c r="K5" s="6" t="n">
        <v>6</v>
      </c>
      <c r="L5" s="6">
        <f>SUMPRODUCT(B5:K5,$B$9:$K$9)</f>
        <v/>
      </c>
      <c r="M5" s="6">
        <f>SUMPRODUCT(B5:K5,$B$12:$K$12)</f>
        <v/>
      </c>
    </row>
    <row r="6" ht="46" customHeight="1">
      <c r="A6" s="5" t="inlineStr">
        <is>
          <t>Bidzaar</t>
        </is>
      </c>
      <c r="B6" s="6" t="n">
        <v>6</v>
      </c>
      <c r="C6" s="6" t="n">
        <v>7</v>
      </c>
      <c r="D6" s="6" t="n">
        <v>7</v>
      </c>
      <c r="E6" s="6" t="n">
        <v>6</v>
      </c>
      <c r="F6" s="6" t="n">
        <v>6</v>
      </c>
      <c r="G6" s="6" t="n">
        <v>6</v>
      </c>
      <c r="H6" s="6" t="n">
        <v>8</v>
      </c>
      <c r="I6" s="6" t="n">
        <v>8</v>
      </c>
      <c r="J6" s="6" t="n">
        <v>6</v>
      </c>
      <c r="K6" s="6" t="n">
        <v>9</v>
      </c>
      <c r="L6" s="6">
        <f>SUMPRODUCT(B6:K6,$B$9:$K$9)</f>
        <v/>
      </c>
      <c r="M6" s="6">
        <f>SUMPRODUCT(B6:K6,$B$12:$K$12)</f>
        <v/>
      </c>
    </row>
    <row r="7" ht="46" customHeight="1">
      <c r="A7" s="5" t="inlineStr">
        <is>
          <t>AGORA SRM</t>
        </is>
      </c>
      <c r="B7" s="6" t="n">
        <v>8</v>
      </c>
      <c r="C7" s="6" t="n">
        <v>6</v>
      </c>
      <c r="D7" s="6" t="n">
        <v>6</v>
      </c>
      <c r="E7" s="6" t="n">
        <v>7</v>
      </c>
      <c r="F7" s="6" t="n">
        <v>5</v>
      </c>
      <c r="G7" s="6" t="n">
        <v>7</v>
      </c>
      <c r="H7" s="6" t="n">
        <v>7</v>
      </c>
      <c r="I7" s="6" t="n">
        <v>6</v>
      </c>
      <c r="J7" s="6" t="n">
        <v>5</v>
      </c>
      <c r="K7" s="6" t="n">
        <v>7</v>
      </c>
      <c r="L7" s="6">
        <f>SUMPRODUCT(B7:K7,$B$9:$K$9)</f>
        <v/>
      </c>
      <c r="M7" s="6">
        <f>SUMPRODUCT(B7:K7,$B$12:$K$12)</f>
        <v/>
      </c>
    </row>
    <row r="8" ht="46" customHeight="1">
      <c r="A8" s="5" t="inlineStr">
        <is>
          <t>1С:ERP Управление предприятием 2</t>
        </is>
      </c>
      <c r="B8" s="6" t="n">
        <v>9</v>
      </c>
      <c r="C8" s="6" t="n">
        <v>9</v>
      </c>
      <c r="D8" s="6" t="n">
        <v>8</v>
      </c>
      <c r="E8" s="6" t="n">
        <v>6</v>
      </c>
      <c r="F8" s="6" t="n">
        <v>8</v>
      </c>
      <c r="G8" s="6" t="n">
        <v>8</v>
      </c>
      <c r="H8" s="6" t="n">
        <v>5</v>
      </c>
      <c r="I8" s="6" t="n">
        <v>6</v>
      </c>
      <c r="J8" s="6" t="n">
        <v>10</v>
      </c>
      <c r="K8" s="6" t="n">
        <v>8</v>
      </c>
      <c r="L8" s="6">
        <f>SUMPRODUCT(B8:K8,$B$9:$K$9)</f>
        <v/>
      </c>
      <c r="M8" s="6">
        <f>SUMPRODUCT(B8:K8,$B$12:$K$12)</f>
        <v/>
      </c>
    </row>
    <row r="9" ht="46" customHeight="1">
      <c r="A9" s="7" t="inlineStr">
        <is>
          <t>Важность</t>
        </is>
      </c>
      <c r="B9" s="8" t="n">
        <v>0.08</v>
      </c>
      <c r="C9" s="8" t="n">
        <v>0.15</v>
      </c>
      <c r="D9" s="8" t="n">
        <v>0.12</v>
      </c>
      <c r="E9" s="8" t="n">
        <v>0.1</v>
      </c>
      <c r="F9" s="8" t="n">
        <v>0.13</v>
      </c>
      <c r="G9" s="8" t="n">
        <v>0.11</v>
      </c>
      <c r="H9" s="8" t="n">
        <v>0.07000000000000001</v>
      </c>
      <c r="I9" s="8" t="n">
        <v>0.06</v>
      </c>
      <c r="J9" s="8" t="n">
        <v>0.09</v>
      </c>
      <c r="K9" s="8" t="n">
        <v>0.09</v>
      </c>
      <c r="L9" s="8">
        <f>SUM(B9:K9)</f>
        <v/>
      </c>
      <c r="M9" s="8" t="n"/>
    </row>
    <row r="10" ht="46" customHeight="1">
      <c r="A10" s="9" t="inlineStr">
        <is>
          <t>Дифференциация (СТАНДОТКЛОН.В)</t>
        </is>
      </c>
      <c r="B10" s="10">
        <f>STDEV.S(B4:B8)</f>
        <v/>
      </c>
      <c r="C10" s="10">
        <f>STDEV.S(C4:C8)</f>
        <v/>
      </c>
      <c r="D10" s="10">
        <f>STDEV.S(D4:D8)</f>
        <v/>
      </c>
      <c r="E10" s="10">
        <f>STDEV.S(E4:E8)</f>
        <v/>
      </c>
      <c r="F10" s="10">
        <f>STDEV.S(F4:F8)</f>
        <v/>
      </c>
      <c r="G10" s="10">
        <f>STDEV.S(G4:G8)</f>
        <v/>
      </c>
      <c r="H10" s="10">
        <f>STDEV.S(H4:H8)</f>
        <v/>
      </c>
      <c r="I10" s="10">
        <f>STDEV.S(I4:I8)</f>
        <v/>
      </c>
      <c r="J10" s="10">
        <f>STDEV.S(J4:J8)</f>
        <v/>
      </c>
      <c r="K10" s="10">
        <f>STDEV.S(K4:K8)</f>
        <v/>
      </c>
      <c r="L10" s="10" t="n"/>
      <c r="M10" s="10" t="n"/>
    </row>
    <row r="11" ht="46" customHeight="1">
      <c r="A11" s="9" t="inlineStr">
        <is>
          <t>C = Важность × Дифференциация</t>
        </is>
      </c>
      <c r="B11" s="10">
        <f>B9*B10</f>
        <v/>
      </c>
      <c r="C11" s="10">
        <f>C9*C10</f>
        <v/>
      </c>
      <c r="D11" s="10">
        <f>D9*D10</f>
        <v/>
      </c>
      <c r="E11" s="10">
        <f>E9*E10</f>
        <v/>
      </c>
      <c r="F11" s="10">
        <f>F9*F10</f>
        <v/>
      </c>
      <c r="G11" s="10">
        <f>G9*G10</f>
        <v/>
      </c>
      <c r="H11" s="10">
        <f>H9*H10</f>
        <v/>
      </c>
      <c r="I11" s="10">
        <f>I9*I10</f>
        <v/>
      </c>
      <c r="J11" s="10">
        <f>J9*J10</f>
        <v/>
      </c>
      <c r="K11" s="10">
        <f>K9*K10</f>
        <v/>
      </c>
      <c r="L11" s="10">
        <f>SUM(B11:K11)</f>
        <v/>
      </c>
      <c r="M11" s="10" t="n"/>
    </row>
    <row r="12" ht="46" customHeight="1">
      <c r="A12" s="9" t="inlineStr">
        <is>
          <t>Детерминация</t>
        </is>
      </c>
      <c r="B12" s="10">
        <f>B11/$L$11</f>
        <v/>
      </c>
      <c r="C12" s="10">
        <f>C11/$L$11</f>
        <v/>
      </c>
      <c r="D12" s="10">
        <f>D11/$L$11</f>
        <v/>
      </c>
      <c r="E12" s="10">
        <f>E11/$L$11</f>
        <v/>
      </c>
      <c r="F12" s="10">
        <f>F11/$L$11</f>
        <v/>
      </c>
      <c r="G12" s="10">
        <f>G11/$L$11</f>
        <v/>
      </c>
      <c r="H12" s="10">
        <f>H11/$L$11</f>
        <v/>
      </c>
      <c r="I12" s="10">
        <f>I11/$L$11</f>
        <v/>
      </c>
      <c r="J12" s="10">
        <f>J11/$L$11</f>
        <v/>
      </c>
      <c r="K12" s="10">
        <f>K11/$L$11</f>
        <v/>
      </c>
      <c r="L12" s="10" t="n"/>
      <c r="M12" s="10" t="n"/>
    </row>
    <row r="13" ht="46" customHeight="1">
      <c r="A13" s="9" t="inlineStr">
        <is>
          <t>Относительная эффективность (к 1С:ERP)</t>
        </is>
      </c>
      <c r="B13" s="10">
        <f>B4/B8</f>
        <v/>
      </c>
      <c r="C13" s="10">
        <f>C4/C8</f>
        <v/>
      </c>
      <c r="D13" s="10">
        <f>D4/D8</f>
        <v/>
      </c>
      <c r="E13" s="10">
        <f>E4/E8</f>
        <v/>
      </c>
      <c r="F13" s="10">
        <f>F4/F8</f>
        <v/>
      </c>
      <c r="G13" s="10">
        <f>G4/G8</f>
        <v/>
      </c>
      <c r="H13" s="10">
        <f>H4/H8</f>
        <v/>
      </c>
      <c r="I13" s="10">
        <f>I4/I8</f>
        <v/>
      </c>
      <c r="J13" s="10">
        <f>J4/J8</f>
        <v/>
      </c>
      <c r="K13" s="10">
        <f>K4/K8</f>
        <v/>
      </c>
      <c r="L13" s="10" t="n"/>
      <c r="M13" s="10" t="n"/>
    </row>
    <row r="72">
      <c r="A72" s="11" t="inlineStr">
        <is>
          <t>Таблица 29 – План действий по улучшению конкурентного преимущества</t>
        </is>
      </c>
    </row>
    <row r="73">
      <c r="A73" s="2" t="inlineStr">
        <is>
          <t>Атрибуты</t>
        </is>
      </c>
      <c r="B73" s="2" t="inlineStr">
        <is>
          <t>Полезность атрибута (отн. эффективность)</t>
        </is>
      </c>
      <c r="C73" s="2" t="inlineStr">
        <is>
          <t>План действий по улучшению конкурентного преимущества</t>
        </is>
      </c>
    </row>
    <row r="74" ht="60" customHeight="1">
      <c r="A74" s="5" t="inlineStr">
        <is>
          <t>Размер бизнеса заказчика</t>
        </is>
      </c>
      <c r="B74" s="12" t="n">
        <v>1.11</v>
      </c>
      <c r="C74" s="5" t="inlineStr">
        <is>
          <t>Атрибут выше порогового значения основного конкурента — улучшение не требуется, удерживать достигнутый уровень.</t>
        </is>
      </c>
    </row>
    <row r="75" ht="60" customHeight="1">
      <c r="A75" s="5" t="inlineStr">
        <is>
          <t>Функционал</t>
        </is>
      </c>
      <c r="B75" s="13" t="n">
        <v>0.44</v>
      </c>
      <c r="C75" s="5" t="inlineStr">
        <is>
          <t>Внедрить модуль «SRM.Аттестация»: автосоставление графиков аттестации, оценка надёжности, рейтинг поставщиков — закрывает ключевое отставание по функционалу.</t>
        </is>
      </c>
    </row>
    <row r="76" ht="60" customHeight="1">
      <c r="A76" s="5" t="inlineStr">
        <is>
          <t>Гибкость и масштабируемость</t>
        </is>
      </c>
      <c r="B76" s="13" t="n">
        <v>0.62</v>
      </c>
      <c r="C76" s="5" t="inlineStr">
        <is>
          <t>Перевести продукт на микросервисную архитектуру и облачную модель (SaaS), обеспечить горизонтальное масштабирование.</t>
        </is>
      </c>
    </row>
    <row r="77" ht="60" customHeight="1">
      <c r="A77" s="5" t="inlineStr">
        <is>
          <t>Производительность платформы</t>
        </is>
      </c>
      <c r="B77" s="12" t="n">
        <v>1.17</v>
      </c>
      <c r="C77" s="5" t="inlineStr">
        <is>
          <t>Атрибут выше порогового значения основного конкурента — улучшение не требуется, удерживать достигнутый уровень.</t>
        </is>
      </c>
    </row>
    <row r="78" ht="60" customHeight="1">
      <c r="A78" s="5" t="inlineStr">
        <is>
          <t>Кастомизация</t>
        </is>
      </c>
      <c r="B78" s="13" t="n">
        <v>0.25</v>
      </c>
      <c r="C78" s="5" t="inlineStr">
        <is>
          <t>Добавить low-code конструктор регламентов аттестации, настраиваемых критериев и весов оценки надёжности без программирования.</t>
        </is>
      </c>
    </row>
    <row r="79" ht="60" customHeight="1">
      <c r="A79" s="5" t="inlineStr">
        <is>
          <t>Универсальность решения</t>
        </is>
      </c>
      <c r="B79" s="12" t="n">
        <v>1.12</v>
      </c>
      <c r="C79" s="5" t="inlineStr">
        <is>
          <t>Атрибут выше порогового значения основного конкурента — улучшение не требуется, удерживать достигнутый уровень.</t>
        </is>
      </c>
    </row>
    <row r="80" ht="60" customHeight="1">
      <c r="A80" s="5" t="inlineStr">
        <is>
          <t>Разнообразие ценообразования</t>
        </is>
      </c>
      <c r="B80" s="13" t="n">
        <v>0.8</v>
      </c>
      <c r="C80" s="5" t="inlineStr">
        <is>
          <t>Ввести 3 тарифа (базовый, профессиональный, корпоративный) и подписочную SaaS-модель оплаты.</t>
        </is>
      </c>
    </row>
    <row r="81" ht="60" customHeight="1">
      <c r="A81" s="5" t="inlineStr">
        <is>
          <t>Рекламная активность</t>
        </is>
      </c>
      <c r="B81" s="13" t="n">
        <v>0.83</v>
      </c>
      <c r="C81" s="5" t="inlineStr">
        <is>
          <t>Запустить контент-маркетинг, SEO, отраслевые вебинары и кейсы; усилить присутствие на ИТ-площадках.</t>
        </is>
      </c>
    </row>
    <row r="82" ht="60" customHeight="1">
      <c r="A82" s="5" t="inlineStr">
        <is>
          <t>Известность бренда</t>
        </is>
      </c>
      <c r="B82" s="13" t="n">
        <v>0.7</v>
      </c>
      <c r="C82" s="5" t="inlineStr">
        <is>
          <t>Продвигать суббренд «НОРБИТ SRM», участвовать в профильных выставках и рейтингах SRM-систем.</t>
        </is>
      </c>
    </row>
    <row r="83" ht="60" customHeight="1">
      <c r="A83" s="5" t="inlineStr">
        <is>
          <t>Дистрибуция</t>
        </is>
      </c>
      <c r="B83" s="13" t="n">
        <v>0.5</v>
      </c>
      <c r="C83" s="5" t="inlineStr">
        <is>
          <t>Развить партнёрскую сеть внедренцев и реселлеров, разместить решение на маркетплейсе российского ПО.</t>
        </is>
      </c>
    </row>
  </sheetData>
  <mergeCells count="2">
    <mergeCell ref="A72:C72"/>
    <mergeCell ref="A1:M1"/>
  </mergeCells>
  <conditionalFormatting sqref="B4:K4">
    <cfRule type="dataBar" priority="1">
      <dataBar>
        <cfvo type="num" val="0"/>
        <cfvo type="num" val="10"/>
        <color rgb="005B9BD5"/>
      </dataBar>
    </cfRule>
    <cfRule type="iconSet" priority="2">
      <iconSet iconSet="3TrafficLights1">
        <cfvo type="percent" val="0"/>
        <cfvo type="percent" val="33"/>
        <cfvo type="percent" val="67"/>
      </iconSet>
    </cfRule>
  </conditionalFormatting>
  <conditionalFormatting sqref="L4:M8">
    <cfRule type="colorScale" priority="3">
      <colorScale>
        <cfvo type="min"/>
        <cfvo type="percentile" val="50"/>
        <cfvo type="max"/>
        <color rgb="00FFC7CE"/>
        <color rgb="00FFEB9C"/>
        <color rgb="00C6EFCE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s="1" t="inlineStr">
        <is>
          <t>Матрица GE / McKinsey ([ФИО студентов], Вариант 7)</t>
        </is>
      </c>
    </row>
    <row r="3">
      <c r="A3" s="11" t="inlineStr">
        <is>
          <t>Таблица 31 – Оценка КОНКУРЕНТОСПОСОБНОСТИ</t>
        </is>
      </c>
    </row>
    <row r="4">
      <c r="A4" s="2" t="inlineStr">
        <is>
          <t>Критерии конкурентоспособности товара/услуги</t>
        </is>
      </c>
      <c r="B4" s="2" t="inlineStr">
        <is>
          <t>Вес фактора</t>
        </is>
      </c>
      <c r="C4" s="2" t="inlineStr">
        <is>
          <t>Оценка: Сегмент 1
«Крупный бизнес и корпорации (промышленность, ритейл, ТЭК)»</t>
        </is>
      </c>
      <c r="D4" s="2" t="inlineStr">
        <is>
          <t>Оценка: Сегмент 2
«Госзаказчики и компании с госучастием (223-ФЗ)»</t>
        </is>
      </c>
      <c r="E4" s="2" t="inlineStr">
        <is>
          <t>Оценка: Сегмент 3
«Средний бизнес (производство, опт, логистика)»</t>
        </is>
      </c>
      <c r="F4" s="2" t="inlineStr">
        <is>
          <t>Итоговая оценка Сегмент 1</t>
        </is>
      </c>
      <c r="G4" s="2" t="inlineStr">
        <is>
          <t>Итоговая оценка Сегмент 2</t>
        </is>
      </c>
      <c r="H4" s="2" t="inlineStr">
        <is>
          <t>Итоговая оценка Сегмент 3</t>
        </is>
      </c>
    </row>
    <row r="5">
      <c r="A5" s="5" t="inlineStr">
        <is>
          <t>ИТ-продукт имеет зарегистрированную торговую марку</t>
        </is>
      </c>
      <c r="B5" s="6" t="n">
        <v>0.2</v>
      </c>
      <c r="C5" s="6" t="n">
        <v>8</v>
      </c>
      <c r="D5" s="6" t="n">
        <v>7</v>
      </c>
      <c r="E5" s="6" t="n">
        <v>5</v>
      </c>
      <c r="F5" s="6">
        <f>$B5*C5</f>
        <v/>
      </c>
      <c r="G5" s="6">
        <f>$B5*D5</f>
        <v/>
      </c>
      <c r="H5" s="6">
        <f>$B5*E5</f>
        <v/>
      </c>
    </row>
    <row r="6">
      <c r="A6" s="5" t="inlineStr">
        <is>
          <t>Компания имеет надёжный канал привлечения заказчиков</t>
        </is>
      </c>
      <c r="B6" s="6" t="n">
        <v>0.18</v>
      </c>
      <c r="C6" s="6" t="n">
        <v>8</v>
      </c>
      <c r="D6" s="6" t="n">
        <v>6</v>
      </c>
      <c r="E6" s="6" t="n">
        <v>4</v>
      </c>
      <c r="F6" s="6">
        <f>$B6*C6</f>
        <v/>
      </c>
      <c r="G6" s="6">
        <f>$B6*D6</f>
        <v/>
      </c>
      <c r="H6" s="6">
        <f>$B6*E6</f>
        <v/>
      </c>
    </row>
    <row r="7">
      <c r="A7" s="5" t="inlineStr">
        <is>
          <t>Известный бренд, под которым реализуются ИТ-товары, сильнее, чем у конкурентов</t>
        </is>
      </c>
      <c r="B7" s="6" t="n">
        <v>0.17</v>
      </c>
      <c r="C7" s="6" t="n">
        <v>9</v>
      </c>
      <c r="D7" s="6" t="n">
        <v>6</v>
      </c>
      <c r="E7" s="6" t="n">
        <v>4</v>
      </c>
      <c r="F7" s="6">
        <f>$B7*C7</f>
        <v/>
      </c>
      <c r="G7" s="6">
        <f>$B7*D7</f>
        <v/>
      </c>
      <c r="H7" s="6">
        <f>$B7*E7</f>
        <v/>
      </c>
    </row>
    <row r="8">
      <c r="A8" s="5" t="inlineStr">
        <is>
          <t>Компания имеет отличный имидж, и он выше, чем у конкурентов</t>
        </is>
      </c>
      <c r="B8" s="6" t="n">
        <v>0.15</v>
      </c>
      <c r="C8" s="6" t="n">
        <v>8</v>
      </c>
      <c r="D8" s="6" t="n">
        <v>6</v>
      </c>
      <c r="E8" s="6" t="n">
        <v>4</v>
      </c>
      <c r="F8" s="6">
        <f>$B8*C8</f>
        <v/>
      </c>
      <c r="G8" s="6">
        <f>$B8*D8</f>
        <v/>
      </c>
      <c r="H8" s="6">
        <f>$B8*E8</f>
        <v/>
      </c>
    </row>
    <row r="9">
      <c r="A9" s="5" t="inlineStr">
        <is>
          <t>Высокий уровень разнообразия ИТ-товаров и дифференциации на рынке</t>
        </is>
      </c>
      <c r="B9" s="6" t="n">
        <v>0.16</v>
      </c>
      <c r="C9" s="6" t="n">
        <v>7</v>
      </c>
      <c r="D9" s="6" t="n">
        <v>5</v>
      </c>
      <c r="E9" s="6" t="n">
        <v>5</v>
      </c>
      <c r="F9" s="6">
        <f>$B9*C9</f>
        <v/>
      </c>
      <c r="G9" s="6">
        <f>$B9*D9</f>
        <v/>
      </c>
      <c r="H9" s="6">
        <f>$B9*E9</f>
        <v/>
      </c>
    </row>
    <row r="10">
      <c r="A10" s="5" t="inlineStr">
        <is>
          <t>Компания может быстро адаптироваться к рыночным изменениям</t>
        </is>
      </c>
      <c r="B10" s="6" t="n">
        <v>0.14</v>
      </c>
      <c r="C10" s="6" t="n">
        <v>6</v>
      </c>
      <c r="D10" s="6" t="n">
        <v>5</v>
      </c>
      <c r="E10" s="6" t="n">
        <v>6</v>
      </c>
      <c r="F10" s="6">
        <f>$B10*C10</f>
        <v/>
      </c>
      <c r="G10" s="6">
        <f>$B10*D10</f>
        <v/>
      </c>
      <c r="H10" s="6">
        <f>$B10*E10</f>
        <v/>
      </c>
    </row>
    <row r="11">
      <c r="A11" s="8" t="inlineStr">
        <is>
          <t>ИТОГО (сумма)</t>
        </is>
      </c>
      <c r="B11" s="8">
        <f>SUM(B5:B10)</f>
        <v/>
      </c>
      <c r="C11" s="8" t="n"/>
      <c r="D11" s="8" t="n"/>
      <c r="E11" s="8" t="n"/>
      <c r="F11" s="8">
        <f>SUM(F5:F10)</f>
        <v/>
      </c>
      <c r="G11" s="8">
        <f>SUM(G5:G10)</f>
        <v/>
      </c>
      <c r="H11" s="8">
        <f>SUM(H5:H10)</f>
        <v/>
      </c>
    </row>
    <row r="14">
      <c r="A14" s="11" t="inlineStr">
        <is>
          <t>Таблица 33 – Оценка ПРИВЛЕКАТЕЛЬНОСТИ рынка</t>
        </is>
      </c>
    </row>
    <row r="15">
      <c r="A15" s="2" t="inlineStr">
        <is>
          <t>Критерии привлекательности рынка (сегмента)</t>
        </is>
      </c>
      <c r="B15" s="2" t="inlineStr">
        <is>
          <t>Вес фактора</t>
        </is>
      </c>
      <c r="C15" s="2" t="inlineStr">
        <is>
          <t>Оценка: Сегмент 1
«Крупный бизнес и корпорации (промышленность, ритейл, ТЭК)»</t>
        </is>
      </c>
      <c r="D15" s="2" t="inlineStr">
        <is>
          <t>Оценка: Сегмент 2
«Госзаказчики и компании с госучастием (223-ФЗ)»</t>
        </is>
      </c>
      <c r="E15" s="2" t="inlineStr">
        <is>
          <t>Оценка: Сегмент 3
«Средний бизнес (производство, опт, логистика)»</t>
        </is>
      </c>
      <c r="F15" s="2" t="inlineStr">
        <is>
          <t>Итоговая оценка Сегмент 1</t>
        </is>
      </c>
      <c r="G15" s="2" t="inlineStr">
        <is>
          <t>Итоговая оценка Сегмент 2</t>
        </is>
      </c>
      <c r="H15" s="2" t="inlineStr">
        <is>
          <t>Итоговая оценка Сегмент 3</t>
        </is>
      </c>
    </row>
    <row r="16">
      <c r="A16" s="5" t="inlineStr">
        <is>
          <t>Высокий потенциал роста рынка и сегмента</t>
        </is>
      </c>
      <c r="B16" s="6" t="n">
        <v>0.18</v>
      </c>
      <c r="C16" s="6" t="n">
        <v>7</v>
      </c>
      <c r="D16" s="6" t="n">
        <v>8</v>
      </c>
      <c r="E16" s="6" t="n">
        <v>9</v>
      </c>
      <c r="F16" s="6">
        <f>$B16*C16</f>
        <v/>
      </c>
      <c r="G16" s="6">
        <f>$B16*D16</f>
        <v/>
      </c>
      <c r="H16" s="6">
        <f>$B16*E16</f>
        <v/>
      </c>
    </row>
    <row r="17">
      <c r="A17" s="5" t="inlineStr">
        <is>
          <t>Ограниченное количество игроков с высокой динамикой их продаж</t>
        </is>
      </c>
      <c r="B17" s="6" t="n">
        <v>0.15</v>
      </c>
      <c r="C17" s="6" t="n">
        <v>5</v>
      </c>
      <c r="D17" s="6" t="n">
        <v>6</v>
      </c>
      <c r="E17" s="6" t="n">
        <v>8</v>
      </c>
      <c r="F17" s="6">
        <f>$B17*C17</f>
        <v/>
      </c>
      <c r="G17" s="6">
        <f>$B17*D17</f>
        <v/>
      </c>
      <c r="H17" s="6">
        <f>$B17*E17</f>
        <v/>
      </c>
    </row>
    <row r="18">
      <c r="A18" s="5" t="inlineStr">
        <is>
          <t>Лёгкий выход на рынок для новых игроков</t>
        </is>
      </c>
      <c r="B18" s="6" t="n">
        <v>0.14</v>
      </c>
      <c r="C18" s="6" t="n">
        <v>3</v>
      </c>
      <c r="D18" s="6" t="n">
        <v>4</v>
      </c>
      <c r="E18" s="6" t="n">
        <v>8</v>
      </c>
      <c r="F18" s="6">
        <f>$B18*C18</f>
        <v/>
      </c>
      <c r="G18" s="6">
        <f>$B18*D18</f>
        <v/>
      </c>
      <c r="H18" s="6">
        <f>$B18*E18</f>
        <v/>
      </c>
    </row>
    <row r="19">
      <c r="A19" s="5" t="inlineStr">
        <is>
          <t>Высокий уровень лояльности у нашей компании в сегменте</t>
        </is>
      </c>
      <c r="B19" s="6" t="n">
        <v>0.2</v>
      </c>
      <c r="C19" s="6" t="n">
        <v>8</v>
      </c>
      <c r="D19" s="6" t="n">
        <v>6</v>
      </c>
      <c r="E19" s="6" t="n">
        <v>5</v>
      </c>
      <c r="F19" s="6">
        <f>$B19*C19</f>
        <v/>
      </c>
      <c r="G19" s="6">
        <f>$B19*D19</f>
        <v/>
      </c>
      <c r="H19" s="6">
        <f>$B19*E19</f>
        <v/>
      </c>
    </row>
    <row r="20">
      <c r="A20" s="5" t="inlineStr">
        <is>
          <t>Сегмент является самым быстрорастущим из оцениваемых альтернатив</t>
        </is>
      </c>
      <c r="B20" s="6" t="n">
        <v>0.18</v>
      </c>
      <c r="C20" s="6" t="n">
        <v>5</v>
      </c>
      <c r="D20" s="6" t="n">
        <v>7</v>
      </c>
      <c r="E20" s="6" t="n">
        <v>9</v>
      </c>
      <c r="F20" s="6">
        <f>$B20*C20</f>
        <v/>
      </c>
      <c r="G20" s="6">
        <f>$B20*D20</f>
        <v/>
      </c>
      <c r="H20" s="6">
        <f>$B20*E20</f>
        <v/>
      </c>
    </row>
    <row r="21">
      <c r="A21" s="5" t="inlineStr">
        <is>
          <t>Минимальны риски влияния внешних экономических факторов на ёмкость рынка</t>
        </is>
      </c>
      <c r="B21" s="6" t="n">
        <v>0.15</v>
      </c>
      <c r="C21" s="6" t="n">
        <v>6</v>
      </c>
      <c r="D21" s="6" t="n">
        <v>4</v>
      </c>
      <c r="E21" s="6" t="n">
        <v>7</v>
      </c>
      <c r="F21" s="6">
        <f>$B21*C21</f>
        <v/>
      </c>
      <c r="G21" s="6">
        <f>$B21*D21</f>
        <v/>
      </c>
      <c r="H21" s="6">
        <f>$B21*E21</f>
        <v/>
      </c>
    </row>
    <row r="22">
      <c r="A22" s="8" t="inlineStr">
        <is>
          <t>ИТОГО (сумма)</t>
        </is>
      </c>
      <c r="B22" s="8">
        <f>SUM(B16:B21)</f>
        <v/>
      </c>
      <c r="C22" s="8" t="n"/>
      <c r="D22" s="8" t="n"/>
      <c r="E22" s="8" t="n"/>
      <c r="F22" s="8">
        <f>SUM(F16:F21)</f>
        <v/>
      </c>
      <c r="G22" s="8">
        <f>SUM(G16:G21)</f>
        <v/>
      </c>
      <c r="H22" s="8">
        <f>SUM(H16:H21)</f>
        <v/>
      </c>
    </row>
    <row r="25">
      <c r="A25" s="11" t="inlineStr">
        <is>
          <t>Таблица 34 – Матрица General Electric (GE) / McKinsey</t>
        </is>
      </c>
    </row>
    <row r="26">
      <c r="A26" s="14" t="inlineStr">
        <is>
          <t>Привлекательность рынка ↓ / Конкурентоспособность →</t>
        </is>
      </c>
      <c r="B26" s="14" t="n"/>
      <c r="C26" s="14" t="inlineStr">
        <is>
          <t>Низкая (0–3,33)</t>
        </is>
      </c>
      <c r="D26" s="14" t="inlineStr">
        <is>
          <t>Средняя (3,34–6,67)</t>
        </is>
      </c>
      <c r="E26" s="14" t="inlineStr">
        <is>
          <t>Высокая (6,68–10)</t>
        </is>
      </c>
    </row>
    <row r="27" ht="90" customHeight="1">
      <c r="A27" s="15" t="inlineStr">
        <is>
          <t>Высокая (6,68–10)</t>
        </is>
      </c>
      <c r="B27" s="6" t="n"/>
      <c r="C27" s="6" t="inlineStr">
        <is>
          <t>№1</t>
        </is>
      </c>
      <c r="D27" s="12" t="inlineStr">
        <is>
          <t>№2
Сегмент 3: «Средний бизнес (производство, опт, логистика)»
(привл.=7.61; конкур.=4.64)</t>
        </is>
      </c>
      <c r="E27" s="6" t="inlineStr">
        <is>
          <t>№3</t>
        </is>
      </c>
    </row>
    <row r="28" ht="90" customHeight="1">
      <c r="A28" s="15" t="inlineStr">
        <is>
          <t>Средняя (3,34–6,67)</t>
        </is>
      </c>
      <c r="B28" s="6" t="n"/>
      <c r="C28" s="6" t="inlineStr">
        <is>
          <t>№4</t>
        </is>
      </c>
      <c r="D28" s="12" t="inlineStr">
        <is>
          <t>№5
Сегмент 2: «Госзаказчики и компании с госучастием (223-ФЗ)»
(привл.=5.96; конкур.=5.90)</t>
        </is>
      </c>
      <c r="E28" s="12" t="inlineStr">
        <is>
          <t>№6
Сегмент 1: «Крупный бизнес и корпорации (промышленность, ритейл, ТЭК)»
(привл.=5.83; конкур.=7.73)</t>
        </is>
      </c>
    </row>
    <row r="29" ht="90" customHeight="1">
      <c r="A29" s="15" t="inlineStr">
        <is>
          <t>Низкая (0–3,33)</t>
        </is>
      </c>
      <c r="B29" s="6" t="n"/>
      <c r="C29" s="6" t="inlineStr">
        <is>
          <t>№7</t>
        </is>
      </c>
      <c r="D29" s="6" t="inlineStr">
        <is>
          <t>№8</t>
        </is>
      </c>
      <c r="E29" s="6" t="inlineStr">
        <is>
          <t>№9</t>
        </is>
      </c>
    </row>
  </sheetData>
  <mergeCells count="4">
    <mergeCell ref="A3:H3"/>
    <mergeCell ref="A14:H14"/>
    <mergeCell ref="A25:E25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34" customWidth="1" min="12" max="12"/>
  </cols>
  <sheetData>
    <row r="1">
      <c r="A1" s="1" t="inlineStr">
        <is>
          <t>Матрица BCG (БКГ) ([ФИО студентов], Вариант 7)</t>
        </is>
      </c>
    </row>
    <row r="3">
      <c r="A3" s="11" t="inlineStr">
        <is>
          <t>Таблица 36 – Расчёт темпа роста рынка и доли рынка</t>
        </is>
      </c>
    </row>
    <row r="4" ht="42" customHeight="1">
      <c r="A4" s="2" t="inlineStr">
        <is>
          <t>Название группы</t>
        </is>
      </c>
      <c r="B4" s="2" t="inlineStr">
        <is>
          <t>Объём продаж 2024, руб.</t>
        </is>
      </c>
      <c r="C4" s="2" t="inlineStr">
        <is>
          <t>Объём продаж 2025, руб.</t>
        </is>
      </c>
      <c r="D4" s="2" t="inlineStr">
        <is>
          <t>Темп роста рынка, %</t>
        </is>
      </c>
      <c r="E4" s="2" t="inlineStr">
        <is>
          <t>Ёмкость рынка</t>
        </is>
      </c>
      <c r="F4" s="2" t="inlineStr">
        <is>
          <t>Взвешенный темп роста, %</t>
        </is>
      </c>
      <c r="G4" s="2" t="inlineStr">
        <is>
          <t>Рост для матрицы BCG</t>
        </is>
      </c>
      <c r="H4" s="2" t="inlineStr">
        <is>
          <t>Доля рынка бренда</t>
        </is>
      </c>
      <c r="I4" s="2" t="inlineStr">
        <is>
          <t>Доля рынка ключ. конкурента</t>
        </is>
      </c>
      <c r="J4" s="2" t="inlineStr">
        <is>
          <t>Относительная доля рынка</t>
        </is>
      </c>
      <c r="K4" s="2" t="inlineStr">
        <is>
          <t>Доля для матрицы BCG</t>
        </is>
      </c>
      <c r="L4" s="2" t="inlineStr">
        <is>
          <t>Название продукта</t>
        </is>
      </c>
    </row>
    <row r="5" ht="42" customHeight="1">
      <c r="A5" s="6" t="inlineStr">
        <is>
          <t>Товар 1</t>
        </is>
      </c>
      <c r="B5" s="6" t="n">
        <v>5063</v>
      </c>
      <c r="C5" s="6" t="n">
        <v>5040</v>
      </c>
      <c r="D5" s="16">
        <f>C5/B5*100</f>
        <v/>
      </c>
      <c r="E5" s="6" t="n">
        <v>11000</v>
      </c>
      <c r="F5" s="17">
        <f>E5*D5/$E$11</f>
        <v/>
      </c>
      <c r="G5" s="6">
        <f>IF(F5&gt;10,"высокий","низкий")</f>
        <v/>
      </c>
      <c r="H5" s="18" t="n">
        <v>0.31</v>
      </c>
      <c r="I5" s="18" t="n">
        <v>0.11</v>
      </c>
      <c r="J5" s="17">
        <f>H5/I5</f>
        <v/>
      </c>
      <c r="K5" s="6">
        <f>IF(J5&gt;1,"высокая","низкая")</f>
        <v/>
      </c>
      <c r="L5" s="5" t="inlineStr">
        <is>
          <t>«НОРБИТ: Управление закупками (SRM)»</t>
        </is>
      </c>
    </row>
    <row r="6" ht="42" customHeight="1">
      <c r="A6" s="6" t="inlineStr">
        <is>
          <t>Товар 2</t>
        </is>
      </c>
      <c r="B6" s="6" t="n">
        <v>1313</v>
      </c>
      <c r="C6" s="6" t="n">
        <v>6013</v>
      </c>
      <c r="D6" s="16">
        <f>C6/B6*100</f>
        <v/>
      </c>
      <c r="E6" s="6" t="n">
        <v>75755</v>
      </c>
      <c r="F6" s="17">
        <f>E6*D6/$E$11</f>
        <v/>
      </c>
      <c r="G6" s="6">
        <f>IF(F6&gt;10,"высокий","низкий")</f>
        <v/>
      </c>
      <c r="H6" s="18" t="n">
        <v>0.08</v>
      </c>
      <c r="I6" s="18" t="n">
        <v>0.29</v>
      </c>
      <c r="J6" s="17">
        <f>H6/I6</f>
        <v/>
      </c>
      <c r="K6" s="6">
        <f>IF(J6&gt;1,"высокая","низкая")</f>
        <v/>
      </c>
      <c r="L6" s="5" t="inlineStr">
        <is>
          <t>«НОРБИТ: Управление автотранспортом»</t>
        </is>
      </c>
    </row>
    <row r="7" ht="42" customHeight="1">
      <c r="A7" s="6" t="inlineStr">
        <is>
          <t>Товар 3</t>
        </is>
      </c>
      <c r="B7" s="6" t="n">
        <v>2220</v>
      </c>
      <c r="C7" s="6" t="n">
        <v>9332</v>
      </c>
      <c r="D7" s="16">
        <f>C7/B7*100</f>
        <v/>
      </c>
      <c r="E7" s="6" t="n">
        <v>67121</v>
      </c>
      <c r="F7" s="17">
        <f>E7*D7/$E$11</f>
        <v/>
      </c>
      <c r="G7" s="6">
        <f>IF(F7&gt;10,"высокий","низкий")</f>
        <v/>
      </c>
      <c r="H7" s="18" t="n">
        <v>0.36</v>
      </c>
      <c r="I7" s="18" t="n">
        <v>0.12</v>
      </c>
      <c r="J7" s="17">
        <f>H7/I7</f>
        <v/>
      </c>
      <c r="K7" s="6">
        <f>IF(J7&gt;1,"высокая","низкая")</f>
        <v/>
      </c>
      <c r="L7" s="5" t="inlineStr">
        <is>
          <t>«НОРБИТ: ТОИР» (управление активами)</t>
        </is>
      </c>
    </row>
    <row r="8" ht="42" customHeight="1">
      <c r="A8" s="6" t="inlineStr">
        <is>
          <t>Товар 4</t>
        </is>
      </c>
      <c r="B8" s="6" t="n">
        <v>2764</v>
      </c>
      <c r="C8" s="6" t="n">
        <v>2643</v>
      </c>
      <c r="D8" s="16">
        <f>C8/B8*100</f>
        <v/>
      </c>
      <c r="E8" s="6" t="n">
        <v>67766</v>
      </c>
      <c r="F8" s="17">
        <f>E8*D8/$E$11</f>
        <v/>
      </c>
      <c r="G8" s="6">
        <f>IF(F8&gt;10,"высокий","низкий")</f>
        <v/>
      </c>
      <c r="H8" s="18" t="n">
        <v>0.09</v>
      </c>
      <c r="I8" s="18" t="n">
        <v>0.36</v>
      </c>
      <c r="J8" s="17">
        <f>H8/I8</f>
        <v/>
      </c>
      <c r="K8" s="6">
        <f>IF(J8&gt;1,"высокая","низкая")</f>
        <v/>
      </c>
      <c r="L8" s="5" t="inlineStr">
        <is>
          <t>«НОРБИТ: Управление складом (WMS)»</t>
        </is>
      </c>
    </row>
    <row r="9" ht="42" customHeight="1">
      <c r="A9" s="6" t="inlineStr">
        <is>
          <t>Товар 5</t>
        </is>
      </c>
      <c r="B9" s="6" t="n">
        <v>8879</v>
      </c>
      <c r="C9" s="6" t="n">
        <v>7817</v>
      </c>
      <c r="D9" s="16">
        <f>C9/B9*100</f>
        <v/>
      </c>
      <c r="E9" s="6" t="n">
        <v>48629</v>
      </c>
      <c r="F9" s="17">
        <f>E9*D9/$E$11</f>
        <v/>
      </c>
      <c r="G9" s="6">
        <f>IF(F9&gt;10,"высокий","низкий")</f>
        <v/>
      </c>
      <c r="H9" s="18" t="n">
        <v>0.28</v>
      </c>
      <c r="I9" s="18" t="n">
        <v>0.14</v>
      </c>
      <c r="J9" s="17">
        <f>H9/I9</f>
        <v/>
      </c>
      <c r="K9" s="6">
        <f>IF(J9&gt;1,"высокая","низкая")</f>
        <v/>
      </c>
      <c r="L9" s="5" t="inlineStr">
        <is>
          <t>«НОРБИТ: Управление маркетингом»</t>
        </is>
      </c>
    </row>
    <row r="10" ht="42" customHeight="1">
      <c r="A10" s="6" t="inlineStr">
        <is>
          <t>Товар 6</t>
        </is>
      </c>
      <c r="B10" s="6" t="n">
        <v>8864</v>
      </c>
      <c r="C10" s="6" t="n">
        <v>3615</v>
      </c>
      <c r="D10" s="16">
        <f>C10/B10*100</f>
        <v/>
      </c>
      <c r="E10" s="6" t="n">
        <v>96684</v>
      </c>
      <c r="F10" s="17">
        <f>E10*D10/$E$11</f>
        <v/>
      </c>
      <c r="G10" s="6">
        <f>IF(F10&gt;10,"высокий","низкий")</f>
        <v/>
      </c>
      <c r="H10" s="18" t="n">
        <v>0.16</v>
      </c>
      <c r="I10" s="18" t="n">
        <v>0.34</v>
      </c>
      <c r="J10" s="17">
        <f>H10/I10</f>
        <v/>
      </c>
      <c r="K10" s="6">
        <f>IF(J10&gt;1,"высокая","низкая")</f>
        <v/>
      </c>
      <c r="L10" s="5" t="inlineStr">
        <is>
          <t>«НОРБИТ: Сервис Деск»</t>
        </is>
      </c>
    </row>
    <row r="11" ht="42" customHeight="1">
      <c r="A11" s="8" t="inlineStr">
        <is>
          <t>ИТОГО</t>
        </is>
      </c>
      <c r="B11" s="8">
        <f>SUM(B5:B10)</f>
        <v/>
      </c>
      <c r="C11" s="8">
        <f>SUM(C5:C10)</f>
        <v/>
      </c>
      <c r="D11" s="8" t="n"/>
      <c r="E11" s="8">
        <f>SUM(E5:E10)</f>
        <v/>
      </c>
      <c r="F11" s="8" t="n"/>
      <c r="G11" s="8" t="n"/>
      <c r="H11" s="8" t="n"/>
      <c r="I11" s="8" t="n"/>
      <c r="J11" s="8" t="n"/>
      <c r="K11" s="8" t="n"/>
      <c r="L11" s="8" t="n"/>
    </row>
    <row r="42">
      <c r="A42" s="11" t="inlineStr">
        <is>
          <t>Таблица 37 – Матрица БКГ</t>
        </is>
      </c>
    </row>
    <row r="43">
      <c r="A43" s="19" t="inlineStr">
        <is>
          <t>Темп роста ВЫСОКИЙ (&gt;10%)</t>
        </is>
      </c>
    </row>
    <row r="44">
      <c r="B44" s="15" t="inlineStr">
        <is>
          <t>ТРУДНЫЕ ДЕТИ</t>
        </is>
      </c>
      <c r="C44" s="6" t="n"/>
      <c r="D44" s="15" t="inlineStr">
        <is>
          <t>ЗВЁЗДЫ</t>
        </is>
      </c>
      <c r="E44" s="6" t="n"/>
    </row>
    <row r="45" ht="70" customHeight="1">
      <c r="B45" s="6" t="inlineStr">
        <is>
          <t>ТРУДНЫЕ ДЕТИ:
Товар 2 «НОРБИТ: Управление автотранспортом» — 6013 руб.
Товар 4 «НОРБИТ: Управление складом (WMS)» — 2643 руб.
Товар 6 «НОРБИТ: Сервис Деск» — 3615 руб.</t>
        </is>
      </c>
      <c r="C45" s="6" t="n"/>
      <c r="D45" s="6" t="inlineStr">
        <is>
          <t>ЗВЁЗДЫ:
Товар 3 «НОРБИТ: ТОИР» (управление активами) — 9332 руб.
Товар 5 «НОРБИТ: Управление маркетингом» — 7817 руб.</t>
        </is>
      </c>
      <c r="E45" s="6" t="n"/>
    </row>
    <row r="46">
      <c r="A46" s="19" t="inlineStr">
        <is>
          <t>Темп роста НИЗКИЙ (&lt;10%)</t>
        </is>
      </c>
    </row>
    <row r="47">
      <c r="B47" s="15" t="inlineStr">
        <is>
          <t>СОБАКИ</t>
        </is>
      </c>
      <c r="C47" s="6" t="n"/>
      <c r="D47" s="15" t="inlineStr">
        <is>
          <t>ДОЙНЫЕ КОРОВЫ</t>
        </is>
      </c>
      <c r="E47" s="6" t="n"/>
    </row>
    <row r="48" ht="70" customHeight="1">
      <c r="B48" s="6" t="inlineStr">
        <is>
          <t>СОБАКИ:
—</t>
        </is>
      </c>
      <c r="C48" s="6" t="n"/>
      <c r="D48" s="6" t="inlineStr">
        <is>
          <t>ДОЙНЫЕ КОРОВЫ:
Товар 1 «НОРБИТ: Управление закупками (SRM)» — 5040 руб.</t>
        </is>
      </c>
      <c r="E48" s="6" t="n"/>
    </row>
    <row r="49">
      <c r="B49" s="19" t="inlineStr">
        <is>
          <t>Относительная доля рынка НИЗКАЯ (&lt;1)</t>
        </is>
      </c>
      <c r="D49" s="19" t="inlineStr">
        <is>
          <t>Относительная доля рынка ВЫСОКАЯ (&gt;1)</t>
        </is>
      </c>
    </row>
  </sheetData>
  <mergeCells count="11">
    <mergeCell ref="D47:E47"/>
    <mergeCell ref="B44:C44"/>
    <mergeCell ref="B48:C48"/>
    <mergeCell ref="B47:C47"/>
    <mergeCell ref="A42:E42"/>
    <mergeCell ref="A1:L1"/>
    <mergeCell ref="B45:C45"/>
    <mergeCell ref="A3:L3"/>
    <mergeCell ref="D44:E44"/>
    <mergeCell ref="D45:E45"/>
    <mergeCell ref="D48:E48"/>
  </mergeCells>
  <conditionalFormatting sqref="F5:F10">
    <cfRule type="dataBar" priority="1">
      <dataBar>
        <cfvo type="min"/>
        <cfvo type="max"/>
        <color rgb="0070AD47"/>
      </dataBar>
    </cfRule>
  </conditionalFormatting>
  <conditionalFormatting sqref="J5:J10">
    <cfRule type="dataBar" priority="2">
      <dataBar>
        <cfvo type="min"/>
        <cfvo type="max"/>
        <color rgb="005B9BD5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  <col width="32" customWidth="1" min="4" max="4"/>
    <col width="32" customWidth="1" min="5" max="5"/>
  </cols>
  <sheetData>
    <row r="1">
      <c r="A1" s="1" t="inlineStr">
        <is>
          <t>Матрица Ансоффа ([ФИО студентов], Вариант 7)</t>
        </is>
      </c>
    </row>
    <row r="3">
      <c r="A3" s="11" t="inlineStr">
        <is>
          <t>Таблица 39 – Стратегия проникновения (углубления): текущий товар на текущем рынке</t>
        </is>
      </c>
    </row>
    <row r="4">
      <c r="A4" s="20" t="inlineStr">
        <is>
          <t>Вопрос: Есть ли возможности и перспективы роста на текущем рынке компании?</t>
        </is>
      </c>
      <c r="B4" s="2" t="n"/>
      <c r="C4" s="2" t="n"/>
      <c r="D4" s="2" t="n"/>
      <c r="E4" s="2" t="n"/>
    </row>
    <row r="5">
      <c r="A5" s="14" t="inlineStr">
        <is>
          <t>Параметр оценки</t>
        </is>
      </c>
      <c r="B5" s="14" t="inlineStr">
        <is>
          <t>Возможна</t>
        </is>
      </c>
      <c r="C5" s="14" t="inlineStr">
        <is>
          <t>Вероятна</t>
        </is>
      </c>
      <c r="D5" s="14" t="inlineStr">
        <is>
          <t>Не возможна</t>
        </is>
      </c>
      <c r="E5" s="14" t="inlineStr">
        <is>
          <t>Варианты ответа</t>
        </is>
      </c>
    </row>
    <row r="6" ht="54" customHeight="1">
      <c r="A6" s="8" t="inlineStr">
        <is>
          <t>Описание рынка и товара</t>
        </is>
      </c>
      <c r="B6" s="7" t="inlineStr">
        <is>
          <t>Текущий ИТ-рынок: российский рынок SRM-систем и систем управления закупками (B2B). Текущий ИТ-товар: «НОРБИТ: Управление закупками (SRM)».</t>
        </is>
      </c>
      <c r="C6" s="8" t="n"/>
      <c r="D6" s="8" t="n"/>
      <c r="E6" s="8" t="n"/>
    </row>
    <row r="7" ht="48" customHeight="1">
      <c r="A7" s="5" t="inlineStr">
        <is>
          <t>Темп роста рынка</t>
        </is>
      </c>
      <c r="B7" s="21" t="inlineStr">
        <is>
          <t>Растущий</t>
        </is>
      </c>
      <c r="C7" s="6" t="n"/>
      <c r="D7" s="6" t="n"/>
      <c r="E7" s="5" t="inlineStr">
        <is>
          <t>Высокий / Растущий / Замедляющийся / Стагнация</t>
        </is>
      </c>
    </row>
    <row r="8" ht="48" customHeight="1">
      <c r="A8" s="5" t="inlineStr">
        <is>
          <t>Уровень потребления товара компании среди целевой аудитории</t>
        </is>
      </c>
      <c r="B8" s="6" t="n"/>
      <c r="C8" s="22" t="inlineStr">
        <is>
          <t>На уровне среднерыночных показателей</t>
        </is>
      </c>
      <c r="D8" s="6" t="n"/>
      <c r="E8" s="5" t="inlineStr">
        <is>
          <t>Ниже / На уровне / Выше среднерыночных показателей</t>
        </is>
      </c>
    </row>
    <row r="9" ht="48" customHeight="1">
      <c r="A9" s="5" t="inlineStr">
        <is>
          <t>Частота использования товара целевой аудитории</t>
        </is>
      </c>
      <c r="B9" s="21" t="inlineStr">
        <is>
          <t>Максимальная</t>
        </is>
      </c>
      <c r="C9" s="6" t="n"/>
      <c r="D9" s="6" t="n"/>
      <c r="E9" s="5" t="inlineStr">
        <is>
          <t>Максимальная / Умеренная / Низкая</t>
        </is>
      </c>
    </row>
    <row r="10" ht="48" customHeight="1">
      <c r="A10" s="5" t="inlineStr">
        <is>
          <t>Уровень дистрибуции товара на рынке (доступа к товару)</t>
        </is>
      </c>
      <c r="B10" s="6" t="n"/>
      <c r="C10" s="22" t="inlineStr">
        <is>
          <t>На уровне среднерыночных показателей</t>
        </is>
      </c>
      <c r="D10" s="6" t="n"/>
      <c r="E10" s="5" t="inlineStr">
        <is>
          <t>Ниже / На уровне / Выше среднерыночных показателей</t>
        </is>
      </c>
    </row>
    <row r="11" ht="48" customHeight="1">
      <c r="A11" s="5" t="inlineStr">
        <is>
          <t>Уровень знания бренда</t>
        </is>
      </c>
      <c r="B11" s="6" t="n"/>
      <c r="C11" s="22" t="inlineStr">
        <is>
          <t>На уровне среднерыночных показателей</t>
        </is>
      </c>
      <c r="D11" s="6" t="n"/>
      <c r="E11" s="5" t="inlineStr">
        <is>
          <t>Ниже / На уровне / Выше среднерыночных показателей</t>
        </is>
      </c>
    </row>
    <row r="12" ht="48" customHeight="1">
      <c r="A12" s="5" t="inlineStr">
        <is>
          <t>Экономия от масштаба</t>
        </is>
      </c>
      <c r="B12" s="21" t="inlineStr">
        <is>
          <t>Есть (да)</t>
        </is>
      </c>
      <c r="C12" s="6" t="n"/>
      <c r="D12" s="6" t="n"/>
      <c r="E12" s="5" t="inlineStr">
        <is>
          <t>Есть (да) / Нет</t>
        </is>
      </c>
    </row>
    <row r="13" ht="48" customHeight="1">
      <c r="A13" s="5" t="inlineStr">
        <is>
          <t>Товар компании имеет конкурентное преимущество на текущем рынке</t>
        </is>
      </c>
      <c r="B13" s="21" t="inlineStr">
        <is>
          <t>Да (после внедрения модуля «SRM.Аттестация»)</t>
        </is>
      </c>
      <c r="C13" s="6" t="n"/>
      <c r="D13" s="6" t="n"/>
      <c r="E13" s="5" t="inlineStr">
        <is>
          <t>Да / Нет</t>
        </is>
      </c>
    </row>
    <row r="14" ht="48" customHeight="1">
      <c r="A14" s="5" t="inlineStr">
        <is>
          <t>Возможности осуществления высоких инвестиций</t>
        </is>
      </c>
      <c r="B14" s="21" t="inlineStr">
        <is>
          <t>Есть (да)</t>
        </is>
      </c>
      <c r="C14" s="6" t="n"/>
      <c r="D14" s="6" t="n"/>
      <c r="E14" s="5" t="inlineStr">
        <is>
          <t>Есть (да) / Нет</t>
        </is>
      </c>
    </row>
    <row r="15" ht="60" customHeight="1">
      <c r="A15" s="8" t="inlineStr">
        <is>
          <t>ВЫВОД ПО СТРАТЕГИИ:</t>
        </is>
      </c>
      <c r="B15" s="7" t="inlineStr">
        <is>
          <t>ВОЗМОЖНА. Рынок SRM растёт за счёт импортозамещения, товар используется ежедневно, у компании есть ресурсы для инвестиций. Стратегия проникновения целесообразна как базовый источник роста.</t>
        </is>
      </c>
      <c r="C15" s="8" t="n"/>
      <c r="D15" s="8" t="n"/>
      <c r="E15" s="8" t="n"/>
    </row>
    <row r="18">
      <c r="A18" s="11" t="inlineStr">
        <is>
          <t>Таблица 40 – Стратегия развития (расширения) рынка: текущий товар на новых рынках</t>
        </is>
      </c>
    </row>
    <row r="19">
      <c r="A19" s="20" t="inlineStr">
        <is>
          <t>Вопрос: Сможет ли компания выйти с текущим товаром на новые рынки?</t>
        </is>
      </c>
      <c r="B19" s="2" t="n"/>
      <c r="C19" s="2" t="n"/>
      <c r="D19" s="2" t="n"/>
      <c r="E19" s="2" t="n"/>
    </row>
    <row r="20">
      <c r="A20" s="14" t="inlineStr">
        <is>
          <t>Параметр оценки</t>
        </is>
      </c>
      <c r="B20" s="14" t="inlineStr">
        <is>
          <t>Возможна</t>
        </is>
      </c>
      <c r="C20" s="14" t="inlineStr">
        <is>
          <t>Вероятна</t>
        </is>
      </c>
      <c r="D20" s="14" t="inlineStr">
        <is>
          <t>Не возможна</t>
        </is>
      </c>
      <c r="E20" s="14" t="inlineStr">
        <is>
          <t>Варианты ответа</t>
        </is>
      </c>
    </row>
    <row r="21" ht="54" customHeight="1">
      <c r="A21" s="8" t="inlineStr">
        <is>
          <t>Описание рынка и товара</t>
        </is>
      </c>
      <c r="B21" s="7" t="inlineStr">
        <is>
          <t>Новый ИТ-рынок: рынки стран ЕАЭС/СНГ (Казахстан, Беларусь, Узбекистан). Текущий ИТ-товар: «НОРБИТ: Управление закупками (SRM)».</t>
        </is>
      </c>
      <c r="C21" s="8" t="n"/>
      <c r="D21" s="8" t="n"/>
      <c r="E21" s="8" t="n"/>
    </row>
    <row r="22" ht="48" customHeight="1">
      <c r="A22" s="5" t="inlineStr">
        <is>
          <t>Компания успешна в текущей деятельности</t>
        </is>
      </c>
      <c r="B22" s="6" t="n"/>
      <c r="C22" s="22" t="inlineStr">
        <is>
          <t>Есть мелкие недочёты (отставание по функционалу)</t>
        </is>
      </c>
      <c r="D22" s="6" t="n"/>
      <c r="E22" s="5" t="inlineStr">
        <is>
          <t>Да / Есть мелкие недочёты / Нет, необходимо совершенствовать продукт</t>
        </is>
      </c>
    </row>
    <row r="23" ht="48" customHeight="1">
      <c r="A23" s="5" t="inlineStr">
        <is>
          <t>Количество игроков на новом рынке</t>
        </is>
      </c>
      <c r="B23" s="6" t="n"/>
      <c r="C23" s="22" t="inlineStr">
        <is>
          <t>Средний уровень насыщения рынка (3-10)</t>
        </is>
      </c>
      <c r="D23" s="6" t="n"/>
      <c r="E23" s="5" t="inlineStr">
        <is>
          <t>Небольшое количество (1-3) / Средний уровень (3-10) / Высокий уровень насыщения</t>
        </is>
      </c>
    </row>
    <row r="24" ht="48" customHeight="1">
      <c r="A24" s="5" t="inlineStr">
        <is>
          <t>Входные барьеры на новом рынке</t>
        </is>
      </c>
      <c r="B24" s="6" t="n"/>
      <c r="C24" s="22" t="inlineStr">
        <is>
          <t>Есть, но недостаточно высокие</t>
        </is>
      </c>
      <c r="D24" s="6" t="n"/>
      <c r="E24" s="5" t="inlineStr">
        <is>
          <t>Практически отсутствуют / Есть, но невысокие / Высокий уровень барьеров</t>
        </is>
      </c>
    </row>
    <row r="25" ht="48" customHeight="1">
      <c r="A25" s="5" t="inlineStr">
        <is>
          <t>Темпы роста нового рынка</t>
        </is>
      </c>
      <c r="B25" s="6" t="n"/>
      <c r="C25" s="22" t="inlineStr">
        <is>
          <t>Замедляющийся, но растущий</t>
        </is>
      </c>
      <c r="D25" s="6" t="n"/>
      <c r="E25" s="5" t="inlineStr">
        <is>
          <t>Высокий / Замедляющийся, но растущий / Стагнация / Снижение объёма рынка</t>
        </is>
      </c>
    </row>
    <row r="26" ht="48" customHeight="1">
      <c r="A26" s="5" t="inlineStr">
        <is>
          <t>Товар обладает уникальными свойствами / уникальной технологией</t>
        </is>
      </c>
      <c r="B26" s="21" t="inlineStr">
        <is>
          <t>Да (модуль аттестации и рейтинга надёжности)</t>
        </is>
      </c>
      <c r="C26" s="6" t="n"/>
      <c r="D26" s="6" t="n"/>
      <c r="E26" s="5" t="inlineStr">
        <is>
          <t>Да / Нет</t>
        </is>
      </c>
    </row>
    <row r="27" ht="48" customHeight="1">
      <c r="A27" s="5" t="inlineStr">
        <is>
          <t>Компания обладает дополнительным капиталом для инвестирования</t>
        </is>
      </c>
      <c r="B27" s="21" t="inlineStr">
        <is>
          <t>Да</t>
        </is>
      </c>
      <c r="C27" s="6" t="n"/>
      <c r="D27" s="6" t="n"/>
      <c r="E27" s="5" t="inlineStr">
        <is>
          <t>Да / Нет</t>
        </is>
      </c>
    </row>
    <row r="28" ht="60" customHeight="1">
      <c r="A28" s="8" t="inlineStr">
        <is>
          <t>ВЫВОД ПО СТРАТЕГИИ:</t>
        </is>
      </c>
      <c r="B28" s="7" t="inlineStr">
        <is>
          <t>ВЕРОЯТНА. Выход на рынки ЕАЭС/СНГ возможен, но требует адаптации продукта и осторожных инвестиций. Реализуется во вторую очередь — после укрепления позиций на домашнем рынке.</t>
        </is>
      </c>
      <c r="C28" s="8" t="n"/>
      <c r="D28" s="8" t="n"/>
      <c r="E28" s="8" t="n"/>
    </row>
    <row r="31">
      <c r="A31" s="11" t="inlineStr">
        <is>
          <t>Таблица 41 – Стратегия развития (инновации) товара: новый товар на текущем рынке</t>
        </is>
      </c>
    </row>
    <row r="32">
      <c r="A32" s="20" t="inlineStr">
        <is>
          <t>Вопрос: Сможет ли компания успешно расширить ассортимент товаров на текущем рынке?</t>
        </is>
      </c>
      <c r="B32" s="2" t="n"/>
      <c r="C32" s="2" t="n"/>
      <c r="D32" s="2" t="n"/>
      <c r="E32" s="2" t="n"/>
    </row>
    <row r="33">
      <c r="A33" s="14" t="inlineStr">
        <is>
          <t>Параметр оценки</t>
        </is>
      </c>
      <c r="B33" s="14" t="inlineStr">
        <is>
          <t>Возможна</t>
        </is>
      </c>
      <c r="C33" s="14" t="inlineStr">
        <is>
          <t>Вероятна</t>
        </is>
      </c>
      <c r="D33" s="14" t="inlineStr">
        <is>
          <t>Не возможна</t>
        </is>
      </c>
      <c r="E33" s="14" t="inlineStr">
        <is>
          <t>Варианты ответа</t>
        </is>
      </c>
    </row>
    <row r="34" ht="54" customHeight="1">
      <c r="A34" s="8" t="inlineStr">
        <is>
          <t>Описание рынка и товара</t>
        </is>
      </c>
      <c r="B34" s="7" t="inlineStr">
        <is>
          <t>Текущий рынок: российский рынок SRM-систем (B2B). Новый ИТ-товар: «НОРБИТ: Управление закупками (SRM) 2.0» с модулем «SRM.Аттестация» (графики аттестации поставщиков, рейтинг надёжности контрагентов).</t>
        </is>
      </c>
      <c r="C34" s="8" t="n"/>
      <c r="D34" s="8" t="n"/>
      <c r="E34" s="8" t="n"/>
    </row>
    <row r="35" ht="48" customHeight="1">
      <c r="A35" s="5" t="inlineStr">
        <is>
          <t>Темпы роста текущего рынка</t>
        </is>
      </c>
      <c r="B35" s="21" t="inlineStr">
        <is>
          <t>Высокий</t>
        </is>
      </c>
      <c r="C35" s="6" t="n"/>
      <c r="D35" s="6" t="n"/>
      <c r="E35" s="5" t="inlineStr">
        <is>
          <t>Высокий / Замедляющийся, но растущий / Стагнация или снижение</t>
        </is>
      </c>
    </row>
    <row r="36" ht="48" customHeight="1">
      <c r="A36" s="5" t="inlineStr">
        <is>
          <t>Размер текущего рынка (для бизнеса компании)</t>
        </is>
      </c>
      <c r="B36" s="21" t="inlineStr">
        <is>
          <t>Большой</t>
        </is>
      </c>
      <c r="C36" s="6" t="n"/>
      <c r="D36" s="6" t="n"/>
      <c r="E36" s="5" t="inlineStr">
        <is>
          <t>Большой / Средний / Небольшой</t>
        </is>
      </c>
    </row>
    <row r="37" ht="48" customHeight="1">
      <c r="A37" s="5" t="inlineStr">
        <is>
          <t>Текущий товар устарел / имеет недостатки / на последней стадии ЖЦ</t>
        </is>
      </c>
      <c r="B37" s="21" t="inlineStr">
        <is>
          <t>Да (есть недостатки — отставание по функционалу и кастомизации)</t>
        </is>
      </c>
      <c r="C37" s="6" t="n"/>
      <c r="D37" s="6" t="n"/>
      <c r="E37" s="5" t="inlineStr">
        <is>
          <t>Да / Нет / Намечаются тенденции к снижению спроса</t>
        </is>
      </c>
    </row>
    <row r="38" ht="48" customHeight="1">
      <c r="A38" s="5" t="inlineStr">
        <is>
          <t>Внутриотраслевая конкуренция</t>
        </is>
      </c>
      <c r="B38" s="6" t="n"/>
      <c r="C38" s="22" t="inlineStr">
        <is>
          <t>Тенденции к ужесточению</t>
        </is>
      </c>
      <c r="D38" s="6" t="n"/>
      <c r="E38" s="5" t="inlineStr">
        <is>
          <t>Высокий уровень / Тенденции к ужесточению / Низкий уровень</t>
        </is>
      </c>
    </row>
    <row r="39" ht="48" customHeight="1">
      <c r="A39" s="5" t="inlineStr">
        <is>
          <t>Угроза входа новых игроков</t>
        </is>
      </c>
      <c r="B39" s="21" t="inlineStr">
        <is>
          <t>Да</t>
        </is>
      </c>
      <c r="C39" s="6" t="n"/>
      <c r="D39" s="6" t="n"/>
      <c r="E39" s="5" t="inlineStr">
        <is>
          <t>Да / Нет</t>
        </is>
      </c>
    </row>
    <row r="40" ht="48" customHeight="1">
      <c r="A40" s="5" t="inlineStr">
        <is>
          <t>Успех в отрасли зависит от инновационности и предложения новых продуктов</t>
        </is>
      </c>
      <c r="B40" s="21" t="inlineStr">
        <is>
          <t>Да</t>
        </is>
      </c>
      <c r="C40" s="6" t="n"/>
      <c r="D40" s="6" t="n"/>
      <c r="E40" s="5" t="inlineStr">
        <is>
          <t>Да / Нет</t>
        </is>
      </c>
    </row>
    <row r="41" ht="48" customHeight="1">
      <c r="A41" s="5" t="inlineStr">
        <is>
          <t>Уровень обновления ассортимента и появления новинок у конкурентов</t>
        </is>
      </c>
      <c r="B41" s="21" t="inlineStr">
        <is>
          <t>Высокий</t>
        </is>
      </c>
      <c r="C41" s="6" t="n"/>
      <c r="D41" s="6" t="n"/>
      <c r="E41" s="5" t="inlineStr">
        <is>
          <t>Высокий / Низкий</t>
        </is>
      </c>
    </row>
    <row r="42" ht="60" customHeight="1">
      <c r="A42" s="8" t="inlineStr">
        <is>
          <t>ВЫВОД ПО СТРАТЕГИИ:</t>
        </is>
      </c>
      <c r="B42" s="7" t="inlineStr">
        <is>
          <t>ВОЗМОЖНА — ПРИОРИТЕТНАЯ СТРАТЕГИЯ. Именно эта стратегия реализуется в проекте: вывод модифицированной SRM с модулем аттестации поставщиков. Большинство параметров «зелёные» — высокий потенциал успеха.</t>
        </is>
      </c>
      <c r="C42" s="8" t="n"/>
      <c r="D42" s="8" t="n"/>
      <c r="E42" s="8" t="n"/>
    </row>
    <row r="45">
      <c r="A45" s="11" t="inlineStr">
        <is>
          <t>Таблица 42 – Стратегия диверсификации: новый товар на новых рынках</t>
        </is>
      </c>
    </row>
    <row r="46">
      <c r="A46" s="20" t="inlineStr">
        <is>
          <t>Вопрос: Есть ли необходимость компании в диверсификации портфеля?</t>
        </is>
      </c>
      <c r="B46" s="2" t="n"/>
      <c r="C46" s="2" t="n"/>
      <c r="D46" s="2" t="n"/>
      <c r="E46" s="2" t="n"/>
    </row>
    <row r="47">
      <c r="A47" s="14" t="inlineStr">
        <is>
          <t>Параметр оценки</t>
        </is>
      </c>
      <c r="B47" s="14" t="inlineStr">
        <is>
          <t>Возможна</t>
        </is>
      </c>
      <c r="C47" s="14" t="inlineStr">
        <is>
          <t>Вероятна</t>
        </is>
      </c>
      <c r="D47" s="14" t="inlineStr">
        <is>
          <t>Не возможна</t>
        </is>
      </c>
      <c r="E47" s="14" t="inlineStr">
        <is>
          <t>Варианты ответа</t>
        </is>
      </c>
    </row>
    <row r="48" ht="54" customHeight="1">
      <c r="A48" s="8" t="inlineStr">
        <is>
          <t>Описание рынка и товара</t>
        </is>
      </c>
      <c r="B48" s="7" t="inlineStr">
        <is>
          <t>Новый рынок: непрофильный рынок (например, B2C-сервисы). Новый ИТ-товар: продукт вне текущей компетенции компании.</t>
        </is>
      </c>
      <c r="C48" s="8" t="n"/>
      <c r="D48" s="8" t="n"/>
      <c r="E48" s="8" t="n"/>
    </row>
    <row r="49" ht="48" customHeight="1">
      <c r="A49" s="5" t="inlineStr">
        <is>
          <t>Темпы роста текущих рынков компании</t>
        </is>
      </c>
      <c r="B49" s="6" t="n"/>
      <c r="C49" s="6" t="n"/>
      <c r="D49" s="23" t="inlineStr">
        <is>
          <t>Высокий (текущие рынки растут — диверсификация не требуется)</t>
        </is>
      </c>
      <c r="E49" s="5" t="inlineStr">
        <is>
          <t>Стагнация или снижение / Замедляющийся, но растущий / Высокий</t>
        </is>
      </c>
    </row>
    <row r="50" ht="48" customHeight="1">
      <c r="A50" s="5" t="inlineStr">
        <is>
          <t>Конкуренция на текущих рынках</t>
        </is>
      </c>
      <c r="B50" s="6" t="n"/>
      <c r="C50" s="22" t="inlineStr">
        <is>
          <t>Тенденции к ужесточению</t>
        </is>
      </c>
      <c r="D50" s="6" t="n"/>
      <c r="E50" s="5" t="inlineStr">
        <is>
          <t>Высокий уровень / Тенденции к ужесточению / Низкий уровень</t>
        </is>
      </c>
    </row>
    <row r="51" ht="48" customHeight="1">
      <c r="A51" s="5" t="inlineStr">
        <is>
          <t>Компания имеет дополнительные свободные ресурсы для нового рынка</t>
        </is>
      </c>
      <c r="B51" s="6" t="n"/>
      <c r="C51" s="6" t="n"/>
      <c r="D51" s="23" t="inlineStr">
        <is>
          <t>Нет (ресурсы сосредоточены на основном проекте)</t>
        </is>
      </c>
      <c r="E51" s="5" t="inlineStr">
        <is>
          <t>Да / Нет</t>
        </is>
      </c>
    </row>
    <row r="52" ht="48" customHeight="1">
      <c r="A52" s="5" t="inlineStr">
        <is>
          <t>Компания имеет уровень компетенции для ведения бизнеса на новом рынке</t>
        </is>
      </c>
      <c r="B52" s="6" t="n"/>
      <c r="C52" s="6" t="n"/>
      <c r="D52" s="23" t="inlineStr">
        <is>
          <t>Нет</t>
        </is>
      </c>
      <c r="E52" s="5" t="inlineStr">
        <is>
          <t>Да / Нет</t>
        </is>
      </c>
    </row>
    <row r="53" ht="48" customHeight="1">
      <c r="A53" s="5" t="inlineStr">
        <is>
          <t>Возможности роста на текущих рынках с текущими товарами</t>
        </is>
      </c>
      <c r="B53" s="6" t="n"/>
      <c r="C53" s="6" t="n"/>
      <c r="D53" s="23" t="inlineStr">
        <is>
          <t>Есть (рост возможен без диверсификации)</t>
        </is>
      </c>
      <c r="E53" s="5" t="inlineStr">
        <is>
          <t>Минимальны / Отсутствуют / Есть</t>
        </is>
      </c>
    </row>
    <row r="54" ht="60" customHeight="1">
      <c r="A54" s="8" t="inlineStr">
        <is>
          <t>ВЫВОД ПО СТРАТЕГИИ:</t>
        </is>
      </c>
      <c r="B54" s="7" t="inlineStr">
        <is>
          <t>НЕ ВОЗМОЖНА / НЕЦЕЛЕСООБРАЗНА. Текущие рынки растут, у компании есть возможности роста без диверсификации. Высокорисковая стратегия (вероятность успеха 5%, расходы 12-16-кратные) — отклоняется.</t>
        </is>
      </c>
      <c r="C54" s="8" t="n"/>
      <c r="D54" s="8" t="n"/>
      <c r="E54" s="8" t="n"/>
    </row>
    <row r="57">
      <c r="A57" s="11" t="inlineStr">
        <is>
          <t>Таблица 43 – Матрица Ансоффа</t>
        </is>
      </c>
    </row>
    <row r="58">
      <c r="C58" s="14" t="inlineStr">
        <is>
          <t>Существующий продукт</t>
        </is>
      </c>
      <c r="D58" s="14" t="inlineStr">
        <is>
          <t>Новый продукт</t>
        </is>
      </c>
    </row>
    <row r="59" ht="110" customHeight="1">
      <c r="A59" s="14" t="inlineStr">
        <is>
          <t>Существующий рынок</t>
        </is>
      </c>
      <c r="C59" s="6" t="inlineStr">
        <is>
          <t>СТРАТЕГИЯ ПРОНИКНОВЕНИЯ
Возможна. Рост доли на рынке SRM РФ: активизация продаж существующей SRM, расширение клиентской базы, кросс-продажи внутри портфеля НОРБИТ.</t>
        </is>
      </c>
      <c r="D59" s="6" t="inlineStr">
        <is>
          <t>СТРАТЕГИЯ РАЗВИТИЯ ТОВАРА
Возможна — ПРИОРИТЕТ. Вывод SRM 2.0 с модулем «SRM.Аттестация»: графики аттестации поставщиков, рейтинг надёжности, выбор оптимальных партнёров.</t>
        </is>
      </c>
    </row>
    <row r="60" ht="110" customHeight="1">
      <c r="A60" s="14" t="inlineStr">
        <is>
          <t>Новый рынок</t>
        </is>
      </c>
      <c r="C60" s="6" t="inlineStr">
        <is>
          <t>СТРАТЕГИЯ РАЗВИТИЯ РЫНКА
Вероятна. Выход текущей SRM на рынки ЕАЭС/СНГ и в новый сегмент госзаказчиков (223-ФЗ) после локализации.</t>
        </is>
      </c>
      <c r="D60" s="6" t="inlineStr">
        <is>
          <t>СТРАТЕГИЯ ДИВЕРСИФИКАЦИИ
Не возможна. Высокий риск (успех 5%) и нехватка компетенций; ресурсы направляются на развитие товара.</t>
        </is>
      </c>
    </row>
    <row r="63">
      <c r="A63" s="11" t="inlineStr">
        <is>
          <t>Таблица 44 – Возможности реализации каждой стратегии</t>
        </is>
      </c>
    </row>
    <row r="64">
      <c r="A64" s="2" t="inlineStr">
        <is>
          <t>Вариант стратегии</t>
        </is>
      </c>
      <c r="B64" s="2" t="inlineStr">
        <is>
          <t>Возможность</t>
        </is>
      </c>
      <c r="C64" s="2" t="inlineStr">
        <is>
          <t>Описание</t>
        </is>
      </c>
      <c r="D64" s="2" t="inlineStr">
        <is>
          <t>Ключевые источники роста</t>
        </is>
      </c>
    </row>
    <row r="65" ht="120" customHeight="1">
      <c r="A65" s="5" t="inlineStr">
        <is>
          <t>Стратегия проникновения (углубления) — текущий товар на текущем рынке</t>
        </is>
      </c>
      <c r="B65" s="5" t="inlineStr">
        <is>
          <t>Возможна</t>
        </is>
      </c>
      <c r="C65" s="5" t="inlineStr">
        <is>
          <t>Развитие на действующем рынке SRM РФ за счёт существующих и новых клиентов. Низкий риск (≈50%), базовые расходы.</t>
        </is>
      </c>
      <c r="D65" s="5" t="inlineStr">
        <is>
          <t>1. Активизация прямых продаж и пресейла.
2. Кросс-продажи SRM клиентам других продуктов НОРБИТ.
3. Программы миграции с ушедших западных SRM/SAP.</t>
        </is>
      </c>
    </row>
    <row r="66" ht="120" customHeight="1">
      <c r="A66" s="5" t="inlineStr">
        <is>
          <t>Стратегия развития (расширения) рынка — текущий товар на новом рынке</t>
        </is>
      </c>
      <c r="B66" s="5" t="inlineStr">
        <is>
          <t>Вероятна</t>
        </is>
      </c>
      <c r="C66" s="5" t="inlineStr">
        <is>
          <t>Выход текущей SRM на рынки ЕАЭС/СНГ и в сегмент госзаказчиков. Риск ≈20%, 4-кратные расходы.</t>
        </is>
      </c>
      <c r="D66" s="5" t="inlineStr">
        <is>
          <t>1. Локализация под законодательство стран ЕАЭС.
2. Поиск партнёров-внедренцев в регионах.
3. Адаптация под 223-ФЗ для госсектора.</t>
        </is>
      </c>
    </row>
    <row r="67" ht="120" customHeight="1">
      <c r="A67" s="5" t="inlineStr">
        <is>
          <t>Стратегия развития (инноваций) товара — новый товар на текущем рынке</t>
        </is>
      </c>
      <c r="B67" s="5" t="inlineStr">
        <is>
          <t>Возможна (ПРИОРИТЕТ)</t>
        </is>
      </c>
      <c r="C67" s="5" t="inlineStr">
        <is>
          <t>Вывод SRM 2.0 с модулем аттестации поставщиков. Риск ≈33%, 8-кратные расходы, но высокий потенциал.</t>
        </is>
      </c>
      <c r="D67" s="5" t="inlineStr">
        <is>
          <t>1. Разработка и запуск модуля «SRM.Аттестация».
2. Пилотные внедрения у ранних последователей.
3. Маркетинговое продвижение нового функционала.</t>
        </is>
      </c>
    </row>
    <row r="68" ht="120" customHeight="1">
      <c r="A68" s="5" t="inlineStr">
        <is>
          <t>Стратегия диверсификации — новый товар на новом рынке</t>
        </is>
      </c>
      <c r="B68" s="5" t="inlineStr">
        <is>
          <t>Не возможна</t>
        </is>
      </c>
      <c r="C68" s="5" t="inlineStr">
        <is>
          <t>Открытие непрофильного направления. Риск ≈5%, 12-16-кратные расходы. Отклоняется.</t>
        </is>
      </c>
      <c r="D68" s="5" t="inlineStr">
        <is>
          <t>Стратегия не реализуется: нет свободных ресурсов и компетенций, текущие рынки обеспечивают рост.</t>
        </is>
      </c>
    </row>
  </sheetData>
  <mergeCells count="19">
    <mergeCell ref="B6:E6"/>
    <mergeCell ref="B15:E15"/>
    <mergeCell ref="A1:E1"/>
    <mergeCell ref="A45:E45"/>
    <mergeCell ref="A63:D63"/>
    <mergeCell ref="B54:E54"/>
    <mergeCell ref="A46:E46"/>
    <mergeCell ref="A18:E18"/>
    <mergeCell ref="A3:E3"/>
    <mergeCell ref="B21:E21"/>
    <mergeCell ref="B48:E48"/>
    <mergeCell ref="A32:E32"/>
    <mergeCell ref="B42:E42"/>
    <mergeCell ref="A4:E4"/>
    <mergeCell ref="A19:E19"/>
    <mergeCell ref="A57:D57"/>
    <mergeCell ref="B34:E34"/>
    <mergeCell ref="B28:E28"/>
    <mergeCell ref="A31:E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2026-05-22T16:36:19Z</dcterms:created>
  <dcterms:modified xmlns:dcterms="http://purl.org/dc/terms/" xmlns:xsi="http://www.w3.org/2001/XMLSchema-instance" xsi:type="dcterms:W3CDTF">2026-05-22T16:36:19Z</dcterms:modified>
</cp:coreProperties>
</file>